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ecios" state="visible" r:id="rId4"/>
    <sheet sheetId="2" name="Cómo usar esta hoja" state="visible" r:id="rId5"/>
  </sheets>
  <calcPr calcId="171027"/>
</workbook>
</file>

<file path=xl/sharedStrings.xml><?xml version="1.0" encoding="utf-8"?>
<sst xmlns="http://schemas.openxmlformats.org/spreadsheetml/2006/main" count="249" uniqueCount="94">
  <si>
    <t>Categoría</t>
  </si>
  <si>
    <t>Ítem (qué es)</t>
  </si>
  <si>
    <t>Especificación</t>
  </si>
  <si>
    <t>Precio (USD)</t>
  </si>
  <si>
    <t>Capacidad (L)</t>
  </si>
  <si>
    <t>Costo por litro</t>
  </si>
  <si>
    <t>Proveedor</t>
  </si>
  <si>
    <t>Ubicación</t>
  </si>
  <si>
    <t>Contacto</t>
  </si>
  <si>
    <t>Estado</t>
  </si>
  <si>
    <t>Fecha</t>
  </si>
  <si>
    <t>Enlace</t>
  </si>
  <si>
    <t>Notas</t>
  </si>
  <si>
    <t>Plantas</t>
  </si>
  <si>
    <t>Planta de limón persa</t>
  </si>
  <si>
    <t>Injerto o semilla — POR CONFIRMAR</t>
  </si>
  <si>
    <t>Por confirmar</t>
  </si>
  <si>
    <t/>
  </si>
  <si>
    <t>observado</t>
  </si>
  <si>
    <t>2026-07-22</t>
  </si>
  <si>
    <t>¿Injertada o de semilla? Cambia el vigor, la tolerancia a la sal y cuándo da la primera fruta.</t>
  </si>
  <si>
    <t>Riego</t>
  </si>
  <si>
    <t>Bomba centrífuga</t>
  </si>
  <si>
    <t>2 HP</t>
  </si>
  <si>
    <t>Utrera Electrónica</t>
  </si>
  <si>
    <t>Franciely Reinoza · 0414-214-51-23</t>
  </si>
  <si>
    <t>2 HP puede ser más de lo necesario para un huerto pequeño. Verificar con el nº de plantas.</t>
  </si>
  <si>
    <t>Filtro de agua</t>
  </si>
  <si>
    <t>1/2 pulgada · 150 psi</t>
  </si>
  <si>
    <t>MercadoLibre (Aquafina)</t>
  </si>
  <si>
    <t>5,0 estrellas · +25 vendidos</t>
  </si>
  <si>
    <t>Obligatorio antes de los goteros: se tapan con sedimento. Barato — comprar de una vez.</t>
  </si>
  <si>
    <t>Aspersor / gallito</t>
  </si>
  <si>
    <t>Aspersión 1/2 pulgada</t>
  </si>
  <si>
    <t>MercadoLibre</t>
  </si>
  <si>
    <t>4,9 estrellas · +1000 vendidos</t>
  </si>
  <si>
    <t>Para cítrico en calor suele ganar el goteo (menos agua, menos hongos en la hoja).</t>
  </si>
  <si>
    <t>Gotero autocompensado</t>
  </si>
  <si>
    <t>Por unidad</t>
  </si>
  <si>
    <t>por cotizar</t>
  </si>
  <si>
    <t>FALTA PRECIO — necesario si vamos a goteo.</t>
  </si>
  <si>
    <t>Línea de goteo / manguera</t>
  </si>
  <si>
    <t>Por metro</t>
  </si>
  <si>
    <t>Tanque</t>
  </si>
  <si>
    <t>Tanque cónico 1000 L</t>
  </si>
  <si>
    <t>Cónico</t>
  </si>
  <si>
    <t>Tanques La Guaira</t>
  </si>
  <si>
    <t>Catia La Mar</t>
  </si>
  <si>
    <t>0424-127-30-25 · 0424-129-44-09</t>
  </si>
  <si>
    <t>El más barato por litro de toda la lista.</t>
  </si>
  <si>
    <t>Tanque cónico 1300 L</t>
  </si>
  <si>
    <t>Tanque cónico 1650 L</t>
  </si>
  <si>
    <t>Tanque cilíndrico 400 L</t>
  </si>
  <si>
    <t>Cilíndrico</t>
  </si>
  <si>
    <t>Tanque cilíndrico 540 L</t>
  </si>
  <si>
    <t>Tanque cilíndrico 650 L</t>
  </si>
  <si>
    <t>Tanque cilíndrico 800 L</t>
  </si>
  <si>
    <t>Tanque cilíndrico 1050 L</t>
  </si>
  <si>
    <t>El mejor por litro entre los cilíndricos.</t>
  </si>
  <si>
    <t>Insumos</t>
  </si>
  <si>
    <t>Abono / fertilizante</t>
  </si>
  <si>
    <t>Saco (indicar kg en Notas)</t>
  </si>
  <si>
    <t>FALTA PRECIO</t>
  </si>
  <si>
    <t>Tierra o abono orgánico para el hoyo</t>
  </si>
  <si>
    <t>Por saco o camionada</t>
  </si>
  <si>
    <t>Servicio</t>
  </si>
  <si>
    <t>Flete a la parcela (Naiguatá)</t>
  </si>
  <si>
    <t>Por viaje</t>
  </si>
  <si>
    <t>FALTA PRECIO — ningún precio de esta hoja incluye flete.</t>
  </si>
  <si>
    <t>Mano de obra</t>
  </si>
  <si>
    <t>Jornal (por día)</t>
  </si>
  <si>
    <t>FALTA PRECIO — para hoyos y siembra.</t>
  </si>
  <si>
    <t>Venta</t>
  </si>
  <si>
    <t>Precio de venta del limón persa</t>
  </si>
  <si>
    <t>Por kg al productor</t>
  </si>
  <si>
    <t>Mercado local</t>
  </si>
  <si>
    <t>FALTA DATO — es el número que decide si el proyecto es rentable.</t>
  </si>
  <si>
    <t>Cómo usar esta hoja</t>
  </si>
  <si>
    <t>Proyecto de limón persa · Naiguatá, La Guaira. Hoja compartida entre los dos socios.</t>
  </si>
  <si>
    <t>Qué tienes que hacer</t>
  </si>
  <si>
    <t>Escribe el precio en la columna "Precio (USD)" — es la columna de fondo crema.</t>
  </si>
  <si>
    <t>Pon la fecha del día en la columna "Fecha", para saber qué tan fresco es el dato.</t>
  </si>
  <si>
    <t>Cambia el "Estado" con el desplegable: por cotizar → observado → cotizado en firme → comprado.</t>
  </si>
  <si>
    <t>Las filas en rojo son las que faltan</t>
  </si>
  <si>
    <t>Cualquier fila que tenga ítem pero no tenga precio se pinta sola de rojo claro. Esas son exactamente las que necesitamos que averigües. Cuando escribas el precio, el rojo desaparece solo.</t>
  </si>
  <si>
    <t>Lo que se calcula solo — no lo escribas</t>
  </si>
  <si>
    <t>La columna "Costo por litro" se calcula sola dividiendo el precio entre la capacidad. Sirve para ver qué tanque rinde más por dólar. Si cambias el precio de un tanque, se recalcula al instante.</t>
  </si>
  <si>
    <t>¿Un producto nuevo?</t>
  </si>
  <si>
    <t>Agrégalo en las filas vacías del final. Con poner la Categoría, el Ítem y el Precio basta: aparece solo en la página web del proyecto.</t>
  </si>
  <si>
    <t>Dónde se ve esto</t>
  </si>
  <si>
    <t>Todo lo que escribas aquí se muestra en la página del proyecto, que abre en el teléfono. Allí además hay una calculadora de presupuesto que usa estos precios.</t>
  </si>
  <si>
    <t>https://ettneciv.github.io/limon-2244e567/</t>
  </si>
  <si>
    <t>Si te equivocas</t>
  </si>
  <si>
    <t>No pasa nada: Archivo → Historial de versiones devuelve la hoja a como estaba antes. Nada se pierde.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</si>
</sst>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0.000"/>
  </numFmts>
  <fonts count="7" x14ac:knownFonts="1">
    <font>
      <color theme="1"/>
      <family val="2"/>
      <scheme val="minor"/>
      <sz val="11"/>
      <name val="Calibri"/>
    </font>
    <font>
      <b/>
      <color rgb="FFFFFFFF"/>
      <sz val="11.5"/>
    </font>
    <font>
      <b/>
    </font>
    <font>
      <b/>
      <color rgb="FF355917"/>
      <sz val="20"/>
    </font>
    <font>
      <color rgb="FF3B4A36"/>
      <sz val="11.5"/>
    </font>
    <font>
      <b/>
      <color rgb="FF223A0F"/>
      <sz val="13"/>
    </font>
    <font>
      <sz val="11.5"/>
    </font>
  </fonts>
  <fills count="6">
    <fill>
      <patternFill patternType="none"/>
    </fill>
    <fill>
      <patternFill patternType="gray125"/>
    </fill>
    <fill>
      <patternFill patternType="solid">
        <fgColor rgb="FF355917"/>
      </patternFill>
    </fill>
    <fill>
      <patternFill patternType="solid">
        <fgColor rgb="FFFDF8E8"/>
      </patternFill>
    </fill>
    <fill>
      <patternFill patternType="solid">
        <fgColor rgb="FFF7FAF3"/>
      </patternFill>
    </fill>
    <fill>
      <patternFill patternType="solid">
        <fgColor rgb="FFE6F0D9"/>
      </patternFill>
    </fill>
  </fills>
  <borders count="3">
    <border>
      <left/>
      <right/>
      <top/>
      <bottom/>
      <diagonal/>
    </border>
    <border>
      <left/>
      <right/>
      <top/>
      <bottom style="medium">
        <color rgb="FF223A0F"/>
      </bottom>
      <diagonal/>
    </border>
    <border>
      <left/>
      <right style="thin">
        <color rgb="FFDDE5D6"/>
      </right>
      <top/>
      <bottom style="thin">
        <color rgb="FFDDE5D6"/>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center" wrapText="1"/>
    </xf>
    <xf numFmtId="0" fontId="2" fillId="0" borderId="2" xfId="0" applyFont="1" applyBorder="1" applyAlignment="1">
      <alignment vertical="center" wrapText="1"/>
    </xf>
    <xf numFmtId="164" fontId="2" fillId="3" borderId="2" xfId="0" applyNumberFormat="1" applyFont="1" applyFill="1" applyBorder="1" applyAlignment="1">
      <alignment horizontal="right" vertical="center"/>
    </xf>
    <xf numFmtId="3" fontId="0" fillId="0" borderId="2" xfId="0" applyNumberFormat="1" applyBorder="1" applyAlignment="1">
      <alignment horizontal="right" vertical="center"/>
    </xf>
    <xf numFmtId="165" fontId="0" fillId="0" borderId="2" xfId="0" applyNumberFormat="1" applyBorder="1" applyAlignment="1">
      <alignment horizontal="right" vertical="center"/>
    </xf>
    <xf numFmtId="0" fontId="0" fillId="4" borderId="2" xfId="0" applyFill="1" applyBorder="1" applyAlignment="1">
      <alignment vertical="center" wrapText="1"/>
    </xf>
    <xf numFmtId="0" fontId="2" fillId="4" borderId="2" xfId="0" applyFont="1" applyFill="1" applyBorder="1" applyAlignment="1">
      <alignment vertical="center" wrapText="1"/>
    </xf>
    <xf numFmtId="3" fontId="0" fillId="4" borderId="2" xfId="0" applyNumberFormat="1" applyFill="1" applyBorder="1" applyAlignment="1">
      <alignment horizontal="right" vertical="center"/>
    </xf>
    <xf numFmtId="165" fontId="0" fillId="4" borderId="2" xfId="0" applyNumberFormat="1" applyFill="1" applyBorder="1" applyAlignment="1">
      <alignment horizontal="right" vertical="center"/>
    </xf>
    <xf numFmtId="0" fontId="0" fillId="0" borderId="2" xfId="0" applyBorder="1"/>
    <xf numFmtId="164" fontId="0" fillId="3" borderId="2" xfId="0" applyNumberFormat="1" applyFill="1" applyBorder="1"/>
    <xf numFmtId="165" fontId="0" fillId="0" borderId="2" xfId="0" applyNumberFormat="1" applyBorder="1"/>
    <xf numFmtId="0" fontId="3" fillId="0" borderId="0" xfId="0" applyFont="1"/>
    <xf numFmtId="0" fontId="4" fillId="0" borderId="0" xfId="0" applyFont="1" applyAlignment="1">
      <alignment vertical="top" wrapText="1"/>
    </xf>
    <xf numFmtId="0" fontId="5" fillId="5" borderId="0" xfId="0" applyFont="1" applyFill="1" applyAlignment="1">
      <alignment vertical="center" indent="1"/>
    </xf>
    <xf numFmtId="0" fontId="6" fillId="0" borderId="0" xfId="0" applyFont="1" applyAlignment="1">
      <alignment vertical="top" wrapText="1" indent="2"/>
    </xf>
  </cellXfs>
  <cellStyles count="1">
    <cellStyle name="Normal" xfId="0" builtinId="0"/>
  </cellStyles>
  <dxfs count="1">
    <dxf>
      <fill>
        <patternFill patternType="solid">
          <bgColor rgb="FFFBEA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workbookViewId="0">
      <pane xSplit="2" ySplit="1" topLeftCell="C2" activePane="bottomRight" state="frozen"/>
      <selection pane="bottomRight"/>
    </sheetView>
  </sheetViews>
  <sheetFormatPr defaultRowHeight="18" outlineLevelRow="0" outlineLevelCol="0" x14ac:dyDescent="55" customHeight="1"/>
  <cols>
    <col min="1" max="1" width="14" customWidth="1"/>
    <col min="2" max="2" width="34" customWidth="1"/>
    <col min="3" max="3" width="30" customWidth="1"/>
    <col min="4" max="5" width="13" customWidth="1"/>
    <col min="6" max="6" width="14" customWidth="1"/>
    <col min="7" max="7" width="22" customWidth="1"/>
    <col min="8" max="8" width="18" customWidth="1"/>
    <col min="9" max="9" width="26" customWidth="1"/>
    <col min="10" max="10" width="16" customWidth="1"/>
    <col min="11" max="11" width="12" customWidth="1"/>
    <col min="12" max="12" width="26" customWidth="1"/>
    <col min="13" max="13" width="46" customWidth="1"/>
  </cols>
  <sheetData>
    <row r="1" ht="34" customHeight="1" spans="1:13" x14ac:dyDescent="0.25">
      <c r="A1" s="1" t="s">
        <v>0</v>
      </c>
      <c r="B1" s="1" t="s">
        <v>1</v>
      </c>
      <c r="C1" s="1" t="s">
        <v>2</v>
      </c>
      <c r="D1" s="1" t="s">
        <v>3</v>
      </c>
      <c r="E1" s="1" t="s">
        <v>4</v>
      </c>
      <c r="F1" s="1" t="s">
        <v>5</v>
      </c>
      <c r="G1" s="1" t="s">
        <v>6</v>
      </c>
      <c r="H1" s="1" t="s">
        <v>7</v>
      </c>
      <c r="I1" s="1" t="s">
        <v>8</v>
      </c>
      <c r="J1" s="1" t="s">
        <v>9</v>
      </c>
      <c r="K1" s="1" t="s">
        <v>10</v>
      </c>
      <c r="L1" s="1" t="s">
        <v>11</v>
      </c>
      <c r="M1" s="1" t="s">
        <v>12</v>
      </c>
    </row>
    <row r="2" ht="30" customHeight="1" spans="1:13" x14ac:dyDescent="0.25">
      <c r="A2" s="2" t="s">
        <v>13</v>
      </c>
      <c r="B2" s="3" t="s">
        <v>14</v>
      </c>
      <c r="C2" s="2" t="s">
        <v>15</v>
      </c>
      <c r="D2" s="4">
        <v>1</v>
      </c>
      <c r="E2" s="5"/>
      <c r="F2" s="6">
        <f>IFERROR(D2/E2,"")</f>
      </c>
      <c r="G2" s="2" t="s">
        <v>16</v>
      </c>
      <c r="H2" s="2" t="s">
        <v>17</v>
      </c>
      <c r="I2" s="2" t="s">
        <v>17</v>
      </c>
      <c r="J2" s="2" t="s">
        <v>18</v>
      </c>
      <c r="K2" s="2" t="s">
        <v>19</v>
      </c>
      <c r="L2" s="2" t="s">
        <v>17</v>
      </c>
      <c r="M2" s="2" t="s">
        <v>20</v>
      </c>
    </row>
    <row r="3" ht="30" customHeight="1" spans="1:13" x14ac:dyDescent="0.25">
      <c r="A3" s="7" t="s">
        <v>21</v>
      </c>
      <c r="B3" s="8" t="s">
        <v>22</v>
      </c>
      <c r="C3" s="7" t="s">
        <v>23</v>
      </c>
      <c r="D3" s="4">
        <v>174</v>
      </c>
      <c r="E3" s="9"/>
      <c r="F3" s="10">
        <f>IFERROR(D3/E3,"")</f>
      </c>
      <c r="G3" s="7" t="s">
        <v>24</v>
      </c>
      <c r="H3" s="7" t="s">
        <v>17</v>
      </c>
      <c r="I3" s="7" t="s">
        <v>25</v>
      </c>
      <c r="J3" s="7" t="s">
        <v>18</v>
      </c>
      <c r="K3" s="7" t="s">
        <v>19</v>
      </c>
      <c r="L3" s="7" t="s">
        <v>17</v>
      </c>
      <c r="M3" s="7" t="s">
        <v>26</v>
      </c>
    </row>
    <row r="4" ht="30" customHeight="1" spans="1:13" x14ac:dyDescent="0.25">
      <c r="A4" s="2" t="s">
        <v>21</v>
      </c>
      <c r="B4" s="3" t="s">
        <v>27</v>
      </c>
      <c r="C4" s="2" t="s">
        <v>28</v>
      </c>
      <c r="D4" s="4">
        <v>7.49</v>
      </c>
      <c r="E4" s="5"/>
      <c r="F4" s="6">
        <f>IFERROR(D4/E4,"")</f>
      </c>
      <c r="G4" s="2" t="s">
        <v>29</v>
      </c>
      <c r="H4" s="2" t="s">
        <v>17</v>
      </c>
      <c r="I4" s="2" t="s">
        <v>30</v>
      </c>
      <c r="J4" s="2" t="s">
        <v>18</v>
      </c>
      <c r="K4" s="2" t="s">
        <v>19</v>
      </c>
      <c r="L4" s="2" t="s">
        <v>17</v>
      </c>
      <c r="M4" s="2" t="s">
        <v>31</v>
      </c>
    </row>
    <row r="5" ht="30" customHeight="1" spans="1:13" x14ac:dyDescent="0.25">
      <c r="A5" s="7" t="s">
        <v>21</v>
      </c>
      <c r="B5" s="8" t="s">
        <v>32</v>
      </c>
      <c r="C5" s="7" t="s">
        <v>33</v>
      </c>
      <c r="D5" s="4">
        <v>2.4</v>
      </c>
      <c r="E5" s="9"/>
      <c r="F5" s="10">
        <f>IFERROR(D5/E5,"")</f>
      </c>
      <c r="G5" s="7" t="s">
        <v>34</v>
      </c>
      <c r="H5" s="7" t="s">
        <v>17</v>
      </c>
      <c r="I5" s="7" t="s">
        <v>35</v>
      </c>
      <c r="J5" s="7" t="s">
        <v>18</v>
      </c>
      <c r="K5" s="7" t="s">
        <v>19</v>
      </c>
      <c r="L5" s="7" t="s">
        <v>17</v>
      </c>
      <c r="M5" s="7" t="s">
        <v>36</v>
      </c>
    </row>
    <row r="6" ht="30" customHeight="1" spans="1:13" x14ac:dyDescent="0.25">
      <c r="A6" s="2" t="s">
        <v>21</v>
      </c>
      <c r="B6" s="3" t="s">
        <v>37</v>
      </c>
      <c r="C6" s="2" t="s">
        <v>38</v>
      </c>
      <c r="D6" s="4"/>
      <c r="E6" s="5"/>
      <c r="F6" s="6">
        <f>IFERROR(D6/E6,"")</f>
      </c>
      <c r="G6" s="2" t="s">
        <v>16</v>
      </c>
      <c r="H6" s="2" t="s">
        <v>17</v>
      </c>
      <c r="I6" s="2" t="s">
        <v>17</v>
      </c>
      <c r="J6" s="2" t="s">
        <v>39</v>
      </c>
      <c r="K6" s="2" t="s">
        <v>17</v>
      </c>
      <c r="L6" s="2" t="s">
        <v>17</v>
      </c>
      <c r="M6" s="2" t="s">
        <v>40</v>
      </c>
    </row>
    <row r="7" ht="30" customHeight="1" spans="1:13" x14ac:dyDescent="0.25">
      <c r="A7" s="7" t="s">
        <v>21</v>
      </c>
      <c r="B7" s="8" t="s">
        <v>41</v>
      </c>
      <c r="C7" s="7" t="s">
        <v>42</v>
      </c>
      <c r="D7" s="4"/>
      <c r="E7" s="9"/>
      <c r="F7" s="10">
        <f>IFERROR(D7/E7,"")</f>
      </c>
      <c r="G7" s="7" t="s">
        <v>16</v>
      </c>
      <c r="H7" s="7" t="s">
        <v>17</v>
      </c>
      <c r="I7" s="7" t="s">
        <v>17</v>
      </c>
      <c r="J7" s="7" t="s">
        <v>39</v>
      </c>
      <c r="K7" s="7" t="s">
        <v>17</v>
      </c>
      <c r="L7" s="7" t="s">
        <v>17</v>
      </c>
      <c r="M7" s="7" t="s">
        <v>40</v>
      </c>
    </row>
    <row r="8" ht="30" customHeight="1" spans="1:13" x14ac:dyDescent="0.25">
      <c r="A8" s="2" t="s">
        <v>43</v>
      </c>
      <c r="B8" s="3" t="s">
        <v>44</v>
      </c>
      <c r="C8" s="2" t="s">
        <v>45</v>
      </c>
      <c r="D8" s="4">
        <v>110</v>
      </c>
      <c r="E8" s="5">
        <v>1000</v>
      </c>
      <c r="F8" s="6">
        <f>IFERROR(D8/E8,"")</f>
      </c>
      <c r="G8" s="2" t="s">
        <v>46</v>
      </c>
      <c r="H8" s="2" t="s">
        <v>47</v>
      </c>
      <c r="I8" s="2" t="s">
        <v>48</v>
      </c>
      <c r="J8" s="2" t="s">
        <v>18</v>
      </c>
      <c r="K8" s="2" t="s">
        <v>19</v>
      </c>
      <c r="L8" s="2" t="s">
        <v>17</v>
      </c>
      <c r="M8" s="2" t="s">
        <v>49</v>
      </c>
    </row>
    <row r="9" ht="30" customHeight="1" spans="1:13" x14ac:dyDescent="0.25">
      <c r="A9" s="7" t="s">
        <v>43</v>
      </c>
      <c r="B9" s="8" t="s">
        <v>50</v>
      </c>
      <c r="C9" s="7" t="s">
        <v>45</v>
      </c>
      <c r="D9" s="4">
        <v>160</v>
      </c>
      <c r="E9" s="9">
        <v>1300</v>
      </c>
      <c r="F9" s="10">
        <f>IFERROR(D9/E9,"")</f>
      </c>
      <c r="G9" s="7" t="s">
        <v>46</v>
      </c>
      <c r="H9" s="7" t="s">
        <v>47</v>
      </c>
      <c r="I9" s="7" t="s">
        <v>48</v>
      </c>
      <c r="J9" s="7" t="s">
        <v>18</v>
      </c>
      <c r="K9" s="7" t="s">
        <v>19</v>
      </c>
      <c r="L9" s="7" t="s">
        <v>17</v>
      </c>
      <c r="M9" s="7" t="s">
        <v>17</v>
      </c>
    </row>
    <row r="10" ht="30" customHeight="1" spans="1:13" x14ac:dyDescent="0.25">
      <c r="A10" s="2" t="s">
        <v>43</v>
      </c>
      <c r="B10" s="3" t="s">
        <v>51</v>
      </c>
      <c r="C10" s="2" t="s">
        <v>45</v>
      </c>
      <c r="D10" s="4">
        <v>200</v>
      </c>
      <c r="E10" s="5">
        <v>1650</v>
      </c>
      <c r="F10" s="6">
        <f>IFERROR(D10/E10,"")</f>
      </c>
      <c r="G10" s="2" t="s">
        <v>46</v>
      </c>
      <c r="H10" s="2" t="s">
        <v>47</v>
      </c>
      <c r="I10" s="2" t="s">
        <v>48</v>
      </c>
      <c r="J10" s="2" t="s">
        <v>18</v>
      </c>
      <c r="K10" s="2" t="s">
        <v>19</v>
      </c>
      <c r="L10" s="2" t="s">
        <v>17</v>
      </c>
      <c r="M10" s="2" t="s">
        <v>17</v>
      </c>
    </row>
    <row r="11" ht="30" customHeight="1" spans="1:13" x14ac:dyDescent="0.25">
      <c r="A11" s="7" t="s">
        <v>43</v>
      </c>
      <c r="B11" s="8" t="s">
        <v>52</v>
      </c>
      <c r="C11" s="7" t="s">
        <v>53</v>
      </c>
      <c r="D11" s="4">
        <v>90</v>
      </c>
      <c r="E11" s="9">
        <v>400</v>
      </c>
      <c r="F11" s="10">
        <f>IFERROR(D11/E11,"")</f>
      </c>
      <c r="G11" s="7" t="s">
        <v>46</v>
      </c>
      <c r="H11" s="7" t="s">
        <v>47</v>
      </c>
      <c r="I11" s="7" t="s">
        <v>48</v>
      </c>
      <c r="J11" s="7" t="s">
        <v>18</v>
      </c>
      <c r="K11" s="7" t="s">
        <v>19</v>
      </c>
      <c r="L11" s="7" t="s">
        <v>17</v>
      </c>
      <c r="M11" s="7" t="s">
        <v>17</v>
      </c>
    </row>
    <row r="12" ht="30" customHeight="1" spans="1:13" x14ac:dyDescent="0.25">
      <c r="A12" s="2" t="s">
        <v>43</v>
      </c>
      <c r="B12" s="3" t="s">
        <v>54</v>
      </c>
      <c r="C12" s="2" t="s">
        <v>53</v>
      </c>
      <c r="D12" s="4">
        <v>125</v>
      </c>
      <c r="E12" s="5">
        <v>540</v>
      </c>
      <c r="F12" s="6">
        <f>IFERROR(D12/E12,"")</f>
      </c>
      <c r="G12" s="2" t="s">
        <v>46</v>
      </c>
      <c r="H12" s="2" t="s">
        <v>47</v>
      </c>
      <c r="I12" s="2" t="s">
        <v>48</v>
      </c>
      <c r="J12" s="2" t="s">
        <v>18</v>
      </c>
      <c r="K12" s="2" t="s">
        <v>19</v>
      </c>
      <c r="L12" s="2" t="s">
        <v>17</v>
      </c>
      <c r="M12" s="2" t="s">
        <v>17</v>
      </c>
    </row>
    <row r="13" ht="30" customHeight="1" spans="1:13" x14ac:dyDescent="0.25">
      <c r="A13" s="7" t="s">
        <v>43</v>
      </c>
      <c r="B13" s="8" t="s">
        <v>55</v>
      </c>
      <c r="C13" s="7" t="s">
        <v>53</v>
      </c>
      <c r="D13" s="4">
        <v>145</v>
      </c>
      <c r="E13" s="9">
        <v>650</v>
      </c>
      <c r="F13" s="10">
        <f>IFERROR(D13/E13,"")</f>
      </c>
      <c r="G13" s="7" t="s">
        <v>46</v>
      </c>
      <c r="H13" s="7" t="s">
        <v>47</v>
      </c>
      <c r="I13" s="7" t="s">
        <v>48</v>
      </c>
      <c r="J13" s="7" t="s">
        <v>18</v>
      </c>
      <c r="K13" s="7" t="s">
        <v>19</v>
      </c>
      <c r="L13" s="7" t="s">
        <v>17</v>
      </c>
      <c r="M13" s="7" t="s">
        <v>17</v>
      </c>
    </row>
    <row r="14" ht="30" customHeight="1" spans="1:13" x14ac:dyDescent="0.25">
      <c r="A14" s="2" t="s">
        <v>43</v>
      </c>
      <c r="B14" s="3" t="s">
        <v>56</v>
      </c>
      <c r="C14" s="2" t="s">
        <v>53</v>
      </c>
      <c r="D14" s="4">
        <v>158</v>
      </c>
      <c r="E14" s="5">
        <v>800</v>
      </c>
      <c r="F14" s="6">
        <f>IFERROR(D14/E14,"")</f>
      </c>
      <c r="G14" s="2" t="s">
        <v>46</v>
      </c>
      <c r="H14" s="2" t="s">
        <v>47</v>
      </c>
      <c r="I14" s="2" t="s">
        <v>48</v>
      </c>
      <c r="J14" s="2" t="s">
        <v>18</v>
      </c>
      <c r="K14" s="2" t="s">
        <v>19</v>
      </c>
      <c r="L14" s="2" t="s">
        <v>17</v>
      </c>
      <c r="M14" s="2" t="s">
        <v>17</v>
      </c>
    </row>
    <row r="15" ht="30" customHeight="1" spans="1:13" x14ac:dyDescent="0.25">
      <c r="A15" s="7" t="s">
        <v>43</v>
      </c>
      <c r="B15" s="8" t="s">
        <v>57</v>
      </c>
      <c r="C15" s="7" t="s">
        <v>53</v>
      </c>
      <c r="D15" s="4">
        <v>199</v>
      </c>
      <c r="E15" s="9">
        <v>1050</v>
      </c>
      <c r="F15" s="10">
        <f>IFERROR(D15/E15,"")</f>
      </c>
      <c r="G15" s="7" t="s">
        <v>46</v>
      </c>
      <c r="H15" s="7" t="s">
        <v>47</v>
      </c>
      <c r="I15" s="7" t="s">
        <v>48</v>
      </c>
      <c r="J15" s="7" t="s">
        <v>18</v>
      </c>
      <c r="K15" s="7" t="s">
        <v>19</v>
      </c>
      <c r="L15" s="7" t="s">
        <v>17</v>
      </c>
      <c r="M15" s="7" t="s">
        <v>58</v>
      </c>
    </row>
    <row r="16" ht="30" customHeight="1" spans="1:13" x14ac:dyDescent="0.25">
      <c r="A16" s="2" t="s">
        <v>59</v>
      </c>
      <c r="B16" s="3" t="s">
        <v>60</v>
      </c>
      <c r="C16" s="2" t="s">
        <v>61</v>
      </c>
      <c r="D16" s="4"/>
      <c r="E16" s="5"/>
      <c r="F16" s="6">
        <f>IFERROR(D16/E16,"")</f>
      </c>
      <c r="G16" s="2" t="s">
        <v>16</v>
      </c>
      <c r="H16" s="2" t="s">
        <v>17</v>
      </c>
      <c r="I16" s="2" t="s">
        <v>17</v>
      </c>
      <c r="J16" s="2" t="s">
        <v>39</v>
      </c>
      <c r="K16" s="2" t="s">
        <v>17</v>
      </c>
      <c r="L16" s="2" t="s">
        <v>17</v>
      </c>
      <c r="M16" s="2" t="s">
        <v>62</v>
      </c>
    </row>
    <row r="17" ht="30" customHeight="1" spans="1:13" x14ac:dyDescent="0.25">
      <c r="A17" s="7" t="s">
        <v>59</v>
      </c>
      <c r="B17" s="8" t="s">
        <v>63</v>
      </c>
      <c r="C17" s="7" t="s">
        <v>64</v>
      </c>
      <c r="D17" s="4"/>
      <c r="E17" s="9"/>
      <c r="F17" s="10">
        <f>IFERROR(D17/E17,"")</f>
      </c>
      <c r="G17" s="7" t="s">
        <v>16</v>
      </c>
      <c r="H17" s="7" t="s">
        <v>17</v>
      </c>
      <c r="I17" s="7" t="s">
        <v>17</v>
      </c>
      <c r="J17" s="7" t="s">
        <v>39</v>
      </c>
      <c r="K17" s="7" t="s">
        <v>17</v>
      </c>
      <c r="L17" s="7" t="s">
        <v>17</v>
      </c>
      <c r="M17" s="7" t="s">
        <v>62</v>
      </c>
    </row>
    <row r="18" ht="30" customHeight="1" spans="1:13" x14ac:dyDescent="0.25">
      <c r="A18" s="2" t="s">
        <v>65</v>
      </c>
      <c r="B18" s="3" t="s">
        <v>66</v>
      </c>
      <c r="C18" s="2" t="s">
        <v>67</v>
      </c>
      <c r="D18" s="4"/>
      <c r="E18" s="5"/>
      <c r="F18" s="6">
        <f>IFERROR(D18/E18,"")</f>
      </c>
      <c r="G18" s="2" t="s">
        <v>16</v>
      </c>
      <c r="H18" s="2" t="s">
        <v>17</v>
      </c>
      <c r="I18" s="2" t="s">
        <v>17</v>
      </c>
      <c r="J18" s="2" t="s">
        <v>39</v>
      </c>
      <c r="K18" s="2" t="s">
        <v>17</v>
      </c>
      <c r="L18" s="2" t="s">
        <v>17</v>
      </c>
      <c r="M18" s="2" t="s">
        <v>68</v>
      </c>
    </row>
    <row r="19" ht="30" customHeight="1" spans="1:13" x14ac:dyDescent="0.25">
      <c r="A19" s="7" t="s">
        <v>65</v>
      </c>
      <c r="B19" s="8" t="s">
        <v>69</v>
      </c>
      <c r="C19" s="7" t="s">
        <v>70</v>
      </c>
      <c r="D19" s="4"/>
      <c r="E19" s="9"/>
      <c r="F19" s="10">
        <f>IFERROR(D19/E19,"")</f>
      </c>
      <c r="G19" s="7" t="s">
        <v>16</v>
      </c>
      <c r="H19" s="7" t="s">
        <v>17</v>
      </c>
      <c r="I19" s="7" t="s">
        <v>17</v>
      </c>
      <c r="J19" s="7" t="s">
        <v>39</v>
      </c>
      <c r="K19" s="7" t="s">
        <v>17</v>
      </c>
      <c r="L19" s="7" t="s">
        <v>17</v>
      </c>
      <c r="M19" s="7" t="s">
        <v>71</v>
      </c>
    </row>
    <row r="20" ht="30" customHeight="1" spans="1:13" x14ac:dyDescent="0.25">
      <c r="A20" s="2" t="s">
        <v>72</v>
      </c>
      <c r="B20" s="3" t="s">
        <v>73</v>
      </c>
      <c r="C20" s="2" t="s">
        <v>74</v>
      </c>
      <c r="D20" s="4"/>
      <c r="E20" s="5"/>
      <c r="F20" s="6">
        <f>IFERROR(D20/E20,"")</f>
      </c>
      <c r="G20" s="2" t="s">
        <v>75</v>
      </c>
      <c r="H20" s="2" t="s">
        <v>17</v>
      </c>
      <c r="I20" s="2" t="s">
        <v>17</v>
      </c>
      <c r="J20" s="2" t="s">
        <v>39</v>
      </c>
      <c r="K20" s="2" t="s">
        <v>17</v>
      </c>
      <c r="L20" s="2" t="s">
        <v>17</v>
      </c>
      <c r="M20" s="2" t="s">
        <v>76</v>
      </c>
    </row>
    <row r="21" ht="26" customHeight="1" spans="1:10" x14ac:dyDescent="0.25">
      <c r="A21" s="11"/>
      <c r="B21" s="11"/>
      <c r="C21" s="11"/>
      <c r="D21" s="12"/>
      <c r="E21" s="11"/>
      <c r="F21" s="13">
        <f>IFERROR(D21/E21,"")</f>
      </c>
    </row>
    <row r="22" ht="26" customHeight="1" spans="1:10" x14ac:dyDescent="0.25">
      <c r="A22" s="11"/>
      <c r="B22" s="11"/>
      <c r="C22" s="11"/>
      <c r="D22" s="12"/>
      <c r="E22" s="11"/>
      <c r="F22" s="13">
        <f>IFERROR(D22/E22,"")</f>
      </c>
    </row>
    <row r="23" ht="26" customHeight="1" spans="1:10" x14ac:dyDescent="0.25">
      <c r="A23" s="11"/>
      <c r="B23" s="11"/>
      <c r="C23" s="11"/>
      <c r="D23" s="12"/>
      <c r="E23" s="11"/>
      <c r="F23" s="13">
        <f>IFERROR(D23/E23,"")</f>
      </c>
    </row>
    <row r="24" ht="26" customHeight="1" spans="1:10" x14ac:dyDescent="0.25">
      <c r="A24" s="11"/>
      <c r="B24" s="11"/>
      <c r="C24" s="11"/>
      <c r="D24" s="12"/>
      <c r="E24" s="11"/>
      <c r="F24" s="13">
        <f>IFERROR(D24/E24,"")</f>
      </c>
    </row>
    <row r="25" ht="26" customHeight="1" spans="1:10" x14ac:dyDescent="0.25">
      <c r="A25" s="11"/>
      <c r="B25" s="11"/>
      <c r="C25" s="11"/>
      <c r="D25" s="12"/>
      <c r="E25" s="11"/>
      <c r="F25" s="13">
        <f>IFERROR(D25/E25,"")</f>
      </c>
    </row>
    <row r="26" ht="26" customHeight="1" spans="1:10" x14ac:dyDescent="0.25">
      <c r="A26" s="11"/>
      <c r="B26" s="11"/>
      <c r="C26" s="11"/>
      <c r="D26" s="12"/>
      <c r="E26" s="11"/>
      <c r="F26" s="13">
        <f>IFERROR(D26/E26,"")</f>
      </c>
    </row>
    <row r="27" ht="26" customHeight="1" spans="1:10" x14ac:dyDescent="0.25">
      <c r="A27" s="11"/>
      <c r="B27" s="11"/>
      <c r="C27" s="11"/>
      <c r="D27" s="12"/>
      <c r="E27" s="11"/>
      <c r="F27" s="13">
        <f>IFERROR(D27/E27,"")</f>
      </c>
    </row>
    <row r="28" ht="26" customHeight="1" spans="1:10" x14ac:dyDescent="0.25">
      <c r="A28" s="11"/>
      <c r="B28" s="11"/>
      <c r="C28" s="11"/>
      <c r="D28" s="12"/>
      <c r="E28" s="11"/>
      <c r="F28" s="13">
        <f>IFERROR(D28/E28,"")</f>
      </c>
    </row>
    <row r="29" ht="26" customHeight="1" spans="1:10" x14ac:dyDescent="0.25">
      <c r="A29" s="11"/>
      <c r="B29" s="11"/>
      <c r="C29" s="11"/>
      <c r="D29" s="12"/>
      <c r="E29" s="11"/>
      <c r="F29" s="13">
        <f>IFERROR(D29/E29,"")</f>
      </c>
    </row>
    <row r="30" ht="26" customHeight="1" spans="1:10" x14ac:dyDescent="0.25">
      <c r="A30" s="11"/>
      <c r="B30" s="11"/>
      <c r="C30" s="11"/>
      <c r="D30" s="12"/>
      <c r="E30" s="11"/>
      <c r="F30" s="13">
        <f>IFERROR(D30/E30,"")</f>
      </c>
    </row>
    <row r="31" ht="26" customHeight="1" spans="1:10" x14ac:dyDescent="0.25">
      <c r="A31" s="11"/>
      <c r="B31" s="11"/>
      <c r="C31" s="11"/>
      <c r="D31" s="12"/>
      <c r="E31" s="11"/>
      <c r="F31" s="13">
        <f>IFERROR(D31/E31,"")</f>
      </c>
    </row>
    <row r="32" ht="26" customHeight="1" spans="1:10" x14ac:dyDescent="0.25">
      <c r="A32" s="11"/>
      <c r="B32" s="11"/>
      <c r="C32" s="11"/>
      <c r="D32" s="12"/>
      <c r="E32" s="11"/>
      <c r="F32" s="13">
        <f>IFERROR(D32/E32,"")</f>
      </c>
    </row>
    <row r="33" ht="26" customHeight="1" spans="1:10" x14ac:dyDescent="0.25">
      <c r="A33" s="11"/>
      <c r="B33" s="11"/>
      <c r="C33" s="11"/>
      <c r="D33" s="12"/>
      <c r="E33" s="11"/>
      <c r="F33" s="13">
        <f>IFERROR(D33/E33,"")</f>
      </c>
    </row>
    <row r="34" ht="26" customHeight="1" spans="1:10" x14ac:dyDescent="0.25">
      <c r="A34" s="11"/>
      <c r="B34" s="11"/>
      <c r="C34" s="11"/>
      <c r="D34" s="12"/>
      <c r="E34" s="11"/>
      <c r="F34" s="13">
        <f>IFERROR(D34/E34,"")</f>
      </c>
    </row>
    <row r="35" ht="26" customHeight="1" spans="1:10" x14ac:dyDescent="0.25">
      <c r="A35" s="11"/>
      <c r="B35" s="11"/>
      <c r="C35" s="11"/>
      <c r="D35" s="12"/>
      <c r="E35" s="11"/>
      <c r="F35" s="13">
        <f>IFERROR(D35/E35,"")</f>
      </c>
    </row>
    <row r="36" ht="26" customHeight="1" spans="1:10" x14ac:dyDescent="0.25">
      <c r="A36" s="11"/>
      <c r="B36" s="11"/>
      <c r="C36" s="11"/>
      <c r="D36" s="12"/>
      <c r="E36" s="11"/>
      <c r="F36" s="13">
        <f>IFERROR(D36/E36,"")</f>
      </c>
    </row>
    <row r="37" ht="26" customHeight="1" spans="1:10" x14ac:dyDescent="0.25">
      <c r="A37" s="11"/>
      <c r="B37" s="11"/>
      <c r="C37" s="11"/>
      <c r="D37" s="12"/>
      <c r="E37" s="11"/>
      <c r="F37" s="13">
        <f>IFERROR(D37/E37,"")</f>
      </c>
    </row>
    <row r="38" ht="26" customHeight="1" spans="1:10" x14ac:dyDescent="0.25">
      <c r="A38" s="11"/>
      <c r="B38" s="11"/>
      <c r="C38" s="11"/>
      <c r="D38" s="12"/>
      <c r="E38" s="11"/>
      <c r="F38" s="13">
        <f>IFERROR(D38/E38,"")</f>
      </c>
    </row>
    <row r="39" ht="26" customHeight="1" spans="1:10" x14ac:dyDescent="0.25">
      <c r="A39" s="11"/>
      <c r="B39" s="11"/>
      <c r="C39" s="11"/>
      <c r="D39" s="12"/>
      <c r="E39" s="11"/>
      <c r="F39" s="13">
        <f>IFERROR(D39/E39,"")</f>
      </c>
    </row>
    <row r="40" ht="26" customHeight="1" spans="1:10" x14ac:dyDescent="0.25">
      <c r="A40" s="11"/>
      <c r="B40" s="11"/>
      <c r="C40" s="11"/>
      <c r="D40" s="12"/>
      <c r="E40" s="11"/>
      <c r="F40" s="13">
        <f>IFERROR(D40/E40,"")</f>
      </c>
    </row>
    <row r="41" ht="26" customHeight="1" spans="1:10" x14ac:dyDescent="0.25">
      <c r="A41" s="11"/>
      <c r="B41" s="11"/>
      <c r="C41" s="11"/>
      <c r="D41" s="12"/>
      <c r="E41" s="11"/>
      <c r="F41" s="13">
        <f>IFERROR(D41/E41,"")</f>
      </c>
    </row>
    <row r="42" ht="26" customHeight="1" spans="1:10" x14ac:dyDescent="0.25">
      <c r="A42" s="11"/>
      <c r="B42" s="11"/>
      <c r="C42" s="11"/>
      <c r="D42" s="12"/>
      <c r="E42" s="11"/>
      <c r="F42" s="13">
        <f>IFERROR(D42/E42,"")</f>
      </c>
    </row>
    <row r="43" ht="26" customHeight="1" spans="1:10" x14ac:dyDescent="0.25">
      <c r="A43" s="11"/>
      <c r="B43" s="11"/>
      <c r="C43" s="11"/>
      <c r="D43" s="12"/>
      <c r="E43" s="11"/>
      <c r="F43" s="13">
        <f>IFERROR(D43/E43,"")</f>
      </c>
    </row>
    <row r="44" ht="26" customHeight="1" spans="1:10" x14ac:dyDescent="0.25">
      <c r="A44" s="11"/>
      <c r="B44" s="11"/>
      <c r="C44" s="11"/>
      <c r="D44" s="12"/>
      <c r="E44" s="11"/>
      <c r="F44" s="13">
        <f>IFERROR(D44/E44,"")</f>
      </c>
    </row>
    <row r="45" ht="26" customHeight="1" spans="1:10" x14ac:dyDescent="0.25">
      <c r="A45" s="11"/>
      <c r="B45" s="11"/>
      <c r="C45" s="11"/>
      <c r="D45" s="12"/>
      <c r="E45" s="11"/>
      <c r="F45" s="13">
        <f>IFERROR(D45/E45,"")</f>
      </c>
    </row>
  </sheetData>
  <autoFilter ref="A1:M1"/>
  <conditionalFormatting sqref="A2:M45">
    <cfRule type="expression" dxfId="0" priority="1">
      <formula>AND($B2&lt;&gt;"",$D2="")</formula>
    </cfRule>
  </conditionalFormatting>
  <dataValidations count="4">
    <dataValidation type="list" allowBlank="1" showErrorMessage="1" errorStyle="warning" errorTitle="Valor fuera de la lista" error="Elige una de las opciones del desplegable." sqref="A10:A45">
      <formula1>"Plantas,Riego,Tanque,Insumos,Servicio,Referencia,Venta"</formula1>
    </dataValidation>
    <dataValidation type="list" allowBlank="1" showErrorMessage="1" errorStyle="warning" errorTitle="Valor fuera de la lista" error="Elige una de las opciones del desplegable." sqref="A2:A45">
      <formula1>"Plantas,Riego,Tanque,Insumos,Servicio,Referencia,Venta"</formula1>
    </dataValidation>
    <dataValidation type="list" allowBlank="1" showErrorMessage="1" errorStyle="warning" errorTitle="Valor fuera de la lista" error="Elige una de las opciones del desplegable." sqref="J10:J45">
      <formula1>"por cotizar,observado,cotizado en firme,comprado,descartado"</formula1>
    </dataValidation>
    <dataValidation type="list" allowBlank="1" showErrorMessage="1" errorStyle="warning" errorTitle="Valor fuera de la lista" error="Elige una de las opciones del desplegable." sqref="J2:J45">
      <formula1>"por cotizar,observado,cotizado en firme,comprado,descartado"</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FormatPr defaultRowHeight="18" outlineLevelRow="0" outlineLevelCol="0" x14ac:dyDescent="55" customHeight="1"/>
  <cols>
    <col min="1" max="1" width="3" customWidth="1"/>
    <col min="2" max="2" width="96" customWidth="1"/>
  </cols>
  <sheetData>
    <row r="1" ht="34" customHeight="1" spans="1:2" x14ac:dyDescent="0.25">
      <c r="A1" t="s">
        <v>17</v>
      </c>
      <c r="B1" s="14" t="s">
        <v>77</v>
      </c>
    </row>
    <row r="2" ht="24" customHeight="1" spans="1:2" x14ac:dyDescent="0.25">
      <c r="A2" t="s">
        <v>17</v>
      </c>
      <c r="B2" s="15" t="s">
        <v>78</v>
      </c>
    </row>
    <row r="3" ht="8" customHeight="1" spans="1:2" x14ac:dyDescent="0.25">
      <c r="A3" t="s">
        <v>17</v>
      </c>
      <c r="B3" t="s">
        <v>17</v>
      </c>
    </row>
    <row r="4" ht="26" customHeight="1" spans="1:2" x14ac:dyDescent="0.25">
      <c r="A4" t="s">
        <v>17</v>
      </c>
      <c r="B4" s="16" t="s">
        <v>79</v>
      </c>
    </row>
    <row r="5" ht="22" customHeight="1" spans="1:2" x14ac:dyDescent="0.25">
      <c r="A5" t="s">
        <v>17</v>
      </c>
      <c r="B5" s="17" t="s">
        <v>80</v>
      </c>
    </row>
    <row r="6" ht="22" customHeight="1" spans="1:2" x14ac:dyDescent="0.25">
      <c r="A6" t="s">
        <v>17</v>
      </c>
      <c r="B6" s="17" t="s">
        <v>81</v>
      </c>
    </row>
    <row r="7" ht="22" customHeight="1" spans="1:2" x14ac:dyDescent="0.25">
      <c r="A7" t="s">
        <v>17</v>
      </c>
      <c r="B7" s="17" t="s">
        <v>82</v>
      </c>
    </row>
    <row r="8" ht="8" customHeight="1" spans="1:2" x14ac:dyDescent="0.25">
      <c r="A8" t="s">
        <v>17</v>
      </c>
      <c r="B8" t="s">
        <v>17</v>
      </c>
    </row>
    <row r="9" ht="26" customHeight="1" spans="1:2" x14ac:dyDescent="0.25">
      <c r="A9" t="s">
        <v>17</v>
      </c>
      <c r="B9" s="16" t="s">
        <v>83</v>
      </c>
    </row>
    <row r="10" ht="44" customHeight="1" spans="1:2" x14ac:dyDescent="0.25">
      <c r="A10" t="s">
        <v>17</v>
      </c>
      <c r="B10" s="15" t="s">
        <v>84</v>
      </c>
    </row>
    <row r="11" ht="8" customHeight="1" spans="1:2" x14ac:dyDescent="0.25">
      <c r="A11" t="s">
        <v>17</v>
      </c>
      <c r="B11" t="s">
        <v>17</v>
      </c>
    </row>
    <row r="12" ht="26" customHeight="1" spans="1:2" x14ac:dyDescent="0.25">
      <c r="A12" t="s">
        <v>17</v>
      </c>
      <c r="B12" s="16" t="s">
        <v>85</v>
      </c>
    </row>
    <row r="13" ht="44" customHeight="1" spans="1:2" x14ac:dyDescent="0.25">
      <c r="A13" t="s">
        <v>17</v>
      </c>
      <c r="B13" s="15" t="s">
        <v>86</v>
      </c>
    </row>
    <row r="14" ht="8" customHeight="1" spans="1:2" x14ac:dyDescent="0.25">
      <c r="A14" t="s">
        <v>17</v>
      </c>
      <c r="B14" t="s">
        <v>17</v>
      </c>
    </row>
    <row r="15" ht="26" customHeight="1" spans="1:2" x14ac:dyDescent="0.25">
      <c r="A15" t="s">
        <v>17</v>
      </c>
      <c r="B15" s="16" t="s">
        <v>87</v>
      </c>
    </row>
    <row r="16" ht="44" customHeight="1" spans="1:2" x14ac:dyDescent="0.25">
      <c r="A16" t="s">
        <v>17</v>
      </c>
      <c r="B16" s="15" t="s">
        <v>88</v>
      </c>
    </row>
    <row r="17" ht="8" customHeight="1" spans="1:2" x14ac:dyDescent="0.25">
      <c r="A17" t="s">
        <v>17</v>
      </c>
      <c r="B17" t="s">
        <v>17</v>
      </c>
    </row>
    <row r="18" ht="26" customHeight="1" spans="1:2" x14ac:dyDescent="0.25">
      <c r="A18" t="s">
        <v>17</v>
      </c>
      <c r="B18" s="16" t="s">
        <v>89</v>
      </c>
    </row>
    <row r="19" ht="44" customHeight="1" spans="1:2" x14ac:dyDescent="0.25">
      <c r="A19" t="s">
        <v>17</v>
      </c>
      <c r="B19" s="15" t="s">
        <v>90</v>
      </c>
    </row>
    <row r="20" ht="24" customHeight="1" spans="1:2" x14ac:dyDescent="0.25">
      <c r="A20" t="s">
        <v>17</v>
      </c>
      <c r="B20" s="15" t="s">
        <v>91</v>
      </c>
    </row>
    <row r="21" ht="8" customHeight="1" spans="1:2" x14ac:dyDescent="0.25">
      <c r="A21" t="s">
        <v>17</v>
      </c>
      <c r="B21" t="s">
        <v>17</v>
      </c>
    </row>
    <row r="22" ht="26" customHeight="1" spans="1:2" x14ac:dyDescent="0.25">
      <c r="A22" t="s">
        <v>17</v>
      </c>
      <c r="B22" s="16" t="s">
        <v>92</v>
      </c>
    </row>
    <row r="23" ht="44" customHeight="1" spans="1:2" x14ac:dyDescent="0.25">
      <c r="A23" t="s">
        <v>17</v>
      </c>
      <c r="B23" s="15" t="s">
        <v>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Precios</vt:lpstr>
      <vt:lpstr>Cómo usar esta hoja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Proyecto LimonPersa</dc:creator>
  <dc:title/>
  <dc:subject/>
  <dc:description/>
  <cp:keywords/>
  <cp:category/>
  <cp:lastModifiedBy>Unknown</cp:lastModifiedBy>
  <dcterms:created xsi:type="dcterms:W3CDTF">2026-07-27T22:00:00Z</dcterms:created>
  <dcterms:modified xsi:type="dcterms:W3CDTF">2026-07-28T19:12:35Z</dcterms:modified>
</cp:coreProperties>
</file>